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usu\Desktop\大三上学期\大作业\"/>
    </mc:Choice>
  </mc:AlternateContent>
  <xr:revisionPtr revIDLastSave="0" documentId="13_ncr:1_{244411BD-ED93-49B1-8325-64C4952A91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用例确认清单" sheetId="1" r:id="rId1"/>
    <sheet name="当前基线验收" sheetId="2" r:id="rId2"/>
    <sheet name="追溯矩阵" sheetId="3" r:id="rId3"/>
    <sheet name="证据索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2" l="1"/>
  <c r="J26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5" i="1"/>
  <c r="H5" i="1"/>
  <c r="F5" i="1"/>
  <c r="D5" i="1"/>
  <c r="B5" i="1"/>
</calcChain>
</file>

<file path=xl/sharedStrings.xml><?xml version="1.0" encoding="utf-8"?>
<sst xmlns="http://schemas.openxmlformats.org/spreadsheetml/2006/main" count="563" uniqueCount="275">
  <si>
    <t>第9组-StreamHub 完整业务场景（用例）候选清单</t>
  </si>
  <si>
    <t>使用规则：本表先完整列出原项目候选项。G–I 列须由教师或助教确认后填写；确认“计入”的用例，才进入最终验收，并必须补齐需求、三层模型、代码、测试和追溯。</t>
  </si>
  <si>
    <t>原始条目</t>
  </si>
  <si>
    <t>建议独立用例</t>
  </si>
  <si>
    <t>当前已测试</t>
  </si>
  <si>
    <t>待教师确认</t>
  </si>
  <si>
    <t>建议非独立/合并</t>
  </si>
  <si>
    <t>UC 编号</t>
  </si>
  <si>
    <t>候选业务场景</t>
  </si>
  <si>
    <t>初步判定</t>
  </si>
  <si>
    <t>触发者与可验证结果</t>
  </si>
  <si>
    <t>当前实现状态（事实）</t>
  </si>
  <si>
    <t>建议处理</t>
  </si>
  <si>
    <t>教师/助教决定</t>
  </si>
  <si>
    <t>确认人</t>
  </si>
  <si>
    <t>确认日期</t>
  </si>
  <si>
    <t>确认后范围</t>
  </si>
  <si>
    <t>若决定计入，必须补齐</t>
  </si>
  <si>
    <t>审计依据</t>
  </si>
  <si>
    <t>UC01</t>
  </si>
  <si>
    <t>用户发现并播放视频</t>
  </si>
  <si>
    <t>独立用例</t>
  </si>
  <si>
    <t>用户搜索/筛选并播放；得到可播放视频</t>
  </si>
  <si>
    <t>已实现且已测试</t>
  </si>
  <si>
    <t>建议计入</t>
  </si>
  <si>
    <t>待确认</t>
  </si>
  <si>
    <t>补业务规则单元测试；保留现有模型/API/E2E</t>
  </si>
  <si>
    <t>INT-TC01；E2E-TC01-02</t>
  </si>
  <si>
    <t>UC02</t>
  </si>
  <si>
    <t>用户视频互动</t>
  </si>
  <si>
    <t>登录用户评论、发送弹幕等互动；得到持久化结果</t>
  </si>
  <si>
    <t>补业务规则单元测试；明确点赞/收藏去重规则</t>
  </si>
  <si>
    <t>INT-TC02；E2E-TC01-02</t>
  </si>
  <si>
    <t>UC03</t>
  </si>
  <si>
    <t>创作者提交视频</t>
  </si>
  <si>
    <t>创作者提交作品；得到待审核结果</t>
  </si>
  <si>
    <t>补业务规则单元测试；当前不含二进制上传</t>
  </si>
  <si>
    <t>INT-TC03；E2E-TC03-05</t>
  </si>
  <si>
    <t>UC04</t>
  </si>
  <si>
    <t>管理员审核视频</t>
  </si>
  <si>
    <t>管理员通过/驳回投稿；得到审核状态</t>
  </si>
  <si>
    <t>保留通过、驳回、无权三条分支测试</t>
  </si>
  <si>
    <t>INT-TC04-A/B/C；E2E-TC03-05</t>
  </si>
  <si>
    <t>UC05</t>
  </si>
  <si>
    <t>创作者管理本人作品</t>
  </si>
  <si>
    <t>创作者查看自己的作品和审核结果；仅返回本人数据</t>
  </si>
  <si>
    <t>补业务规则单元测试</t>
  </si>
  <si>
    <t>INT-TC05；E2E-TC03-05</t>
  </si>
  <si>
    <t>UC06</t>
  </si>
  <si>
    <t>创作者创建直播间</t>
  </si>
  <si>
    <t>创作者创建直播；得到活动直播间</t>
  </si>
  <si>
    <t>如课程要求真实媒体流，补媒体服务验收</t>
  </si>
  <si>
    <t>INT-TC06-08；INT-TC06-EX；E2E-TC06-08</t>
  </si>
  <si>
    <t>UC07</t>
  </si>
  <si>
    <t>进入直播并实时互动</t>
  </si>
  <si>
    <t>观众进入直播并发 WebSocket 弹幕；得到广播结果</t>
  </si>
  <si>
    <t>当前仅文本互动；不等同真实音视频流</t>
  </si>
  <si>
    <t>INT-TC07；E2E-TC06-08</t>
  </si>
  <si>
    <t>UC08</t>
  </si>
  <si>
    <t>创作者结束直播</t>
  </si>
  <si>
    <t>主播结束自己直播；房间变为结束状态</t>
  </si>
  <si>
    <t>INT-TC06-08；INT-TC08-EX；E2E-TC06-08</t>
  </si>
  <si>
    <t>UC09</t>
  </si>
  <si>
    <t>用户查看订阅动态</t>
  </si>
  <si>
    <t>用户查看已关注创作者新作品；得到按时间排序动态</t>
  </si>
  <si>
    <t>Follow 模型、订阅 API、持久化、三层模型、API/E2E</t>
  </si>
  <si>
    <t>SubscriptionPage.tsx；models.py</t>
  </si>
  <si>
    <t>UC10</t>
  </si>
  <si>
    <t>用户查看个人主页</t>
  </si>
  <si>
    <t>非独立用例</t>
  </si>
  <si>
    <t>进入页面展示作品/喜欢/历史；本身未形成独立业务结果</t>
  </si>
  <si>
    <t>若教师要求单列：先定义业务目标、数据来源与完整流程</t>
  </si>
  <si>
    <t>ProfilePage.tsx；models.py</t>
  </si>
  <si>
    <t>UC11</t>
  </si>
  <si>
    <t>用户修改个人资料</t>
  </si>
  <si>
    <t>用户修改昵称/简介；当前为简单资料 CRUD</t>
  </si>
  <si>
    <t>若教师要求单列：补更新后读取断言、异常/E2E</t>
  </si>
  <si>
    <t>main.py: PATCH /api/auth/me；authStore.ts</t>
  </si>
  <si>
    <t>UC12</t>
  </si>
  <si>
    <t>用户修改密码</t>
  </si>
  <si>
    <t>用户校验旧密码并修改；旧密码失效、新密码可登录</t>
  </si>
  <si>
    <t>密码校验/哈希、改密 API、旧新密码登录测试、三层模型</t>
  </si>
  <si>
    <t>SettingsPage.tsx；main.py</t>
  </si>
  <si>
    <t>UC13</t>
  </si>
  <si>
    <t>普通用户申请成为创作者</t>
  </si>
  <si>
    <t>用户提交申请；得到审批或角色变更结果</t>
  </si>
  <si>
    <t>申请状态机、审核、权限、持久化、API/E2E</t>
  </si>
  <si>
    <t>SettingsPage.tsx；models.py；main.py</t>
  </si>
  <si>
    <t>UC14</t>
  </si>
  <si>
    <t>用户发送与接收私信</t>
  </si>
  <si>
    <t>用户发送私信；接收方可查询会话和消息</t>
  </si>
  <si>
    <t>会话/消息模型、鉴权、API、持久化、API/E2E</t>
  </si>
  <si>
    <t>src；models.py；main.py</t>
  </si>
  <si>
    <t>UC15</t>
  </si>
  <si>
    <t>管理者管理视频</t>
  </si>
  <si>
    <t>合并项</t>
  </si>
  <si>
    <t>对视频进行通过/驳回等处置；结果为审核状态</t>
  </si>
  <si>
    <t>若需警告/改回待审：新状态机、审计记录和测试</t>
  </si>
  <si>
    <t>main.py: audit_video；AdminPage.tsx</t>
  </si>
  <si>
    <t>UC16</t>
  </si>
  <si>
    <t>管理者管理直播</t>
  </si>
  <si>
    <t>管理员处理任意直播；状态和处理记录可追溯</t>
  </si>
  <si>
    <t>管理 API、处理记录、权限、API/E2E</t>
  </si>
  <si>
    <t>main.py；AdminPage.tsx</t>
  </si>
  <si>
    <t>UC17</t>
  </si>
  <si>
    <t>管理者管理用户</t>
  </si>
  <si>
    <t>管理员改角色或封禁；状态持久化</t>
  </si>
  <si>
    <t>用户状态模型、权限、管理 API、API/E2E</t>
  </si>
  <si>
    <t>AdminPage.tsx；main.py</t>
  </si>
  <si>
    <t>UC18</t>
  </si>
  <si>
    <t>UC19</t>
  </si>
  <si>
    <t>管理者管理敏感词</t>
  </si>
  <si>
    <t>管理员维护规则且内容实际受规则约束</t>
  </si>
  <si>
    <t>敏感词模型、规则执行、持久化、API/E2E</t>
  </si>
  <si>
    <t>AdminPage.tsx；models.py</t>
  </si>
  <si>
    <t>第9组-StreamHub 当前基线测试结果</t>
  </si>
  <si>
    <t>事实范围：2026-08-25 本机复跑单元 3 条、API/WS 11 条、E2E 3 条，共 17/17 通过。该结果只证明下表环境与 UC01–UC08 的当前实现；最终验收范围必须以后续教师确认清单为准。</t>
  </si>
  <si>
    <t>后端单元</t>
  </si>
  <si>
    <t>API/WS</t>
  </si>
  <si>
    <t>E2E</t>
  </si>
  <si>
    <t>总计</t>
  </si>
  <si>
    <t>范围</t>
  </si>
  <si>
    <t>当前业务场景</t>
  </si>
  <si>
    <t>单元测试</t>
  </si>
  <si>
    <t>API/WS 测试</t>
  </si>
  <si>
    <t>E2E 测试</t>
  </si>
  <si>
    <t>结果</t>
  </si>
  <si>
    <t>主/备选/异常覆盖</t>
  </si>
  <si>
    <t>限制</t>
  </si>
  <si>
    <t>证据文件</t>
  </si>
  <si>
    <t>当前结论</t>
  </si>
  <si>
    <t>ENV</t>
  </si>
  <si>
    <t>运行环境</t>
  </si>
  <si>
    <t>—</t>
  </si>
  <si>
    <t>ENV-TC01</t>
  </si>
  <si>
    <t>通过</t>
  </si>
  <si>
    <t>健康接口、前端主页、测试数据库可用</t>
  </si>
  <si>
    <t>本机 Win32 环境</t>
  </si>
  <si>
    <t>01_测试报告/baseline-backend-tests-2026-08-25-rerun1.xml</t>
  </si>
  <si>
    <t>当前环境可运行</t>
  </si>
  <si>
    <t>发现并播放视频</t>
  </si>
  <si>
    <t>仅认证支撑</t>
  </si>
  <si>
    <t>INT-TC01</t>
  </si>
  <si>
    <t>E2E-TC01-02</t>
  </si>
  <si>
    <t>主流程；空搜索备选</t>
  </si>
  <si>
    <t>本地演示视频路径</t>
  </si>
  <si>
    <t>01_测试报告/；02_测试代码/</t>
  </si>
  <si>
    <t>建议计入，待确认</t>
  </si>
  <si>
    <t>INT-TC02</t>
  </si>
  <si>
    <t>评论、弹幕等主流程</t>
  </si>
  <si>
    <t>未验证按用户去重</t>
  </si>
  <si>
    <t>INT-TC03</t>
  </si>
  <si>
    <t>E2E-TC03-05</t>
  </si>
  <si>
    <t>投稿；普通用户 403</t>
  </si>
  <si>
    <t>不上传二进制视频</t>
  </si>
  <si>
    <t>INT-TC04-A/B/C</t>
  </si>
  <si>
    <t>通过、驳回、普通用户 403</t>
  </si>
  <si>
    <t>无警告/改回待审</t>
  </si>
  <si>
    <t>INT-TC05</t>
  </si>
  <si>
    <t>只读本人；普通用户 403</t>
  </si>
  <si>
    <t>INT-TC06-08；INT-TC06-EX</t>
  </si>
  <si>
    <t>E2E-TC06-08</t>
  </si>
  <si>
    <t>创建；普通用户 403</t>
  </si>
  <si>
    <t>未证明真实媒体推拉流</t>
  </si>
  <si>
    <t>INT-TC07</t>
  </si>
  <si>
    <t>WebSocket 连接、join_ack、弹幕广播</t>
  </si>
  <si>
    <t>仅文本 WebSocket</t>
  </si>
  <si>
    <t>INT-TC06-08；INT-TC08-EX</t>
  </si>
  <si>
    <t>结束；普通用户 403</t>
  </si>
  <si>
    <t>第9组-StreamHub 候选用例追溯矩阵</t>
  </si>
  <si>
    <t>规则：已实现 UC01–UC08 有模型、代码和测试证据；其余候选项不填“通过”。G 列为“无”的，表示当前未具备最终验收条件，不是测试失败。</t>
  </si>
  <si>
    <t>UC</t>
  </si>
  <si>
    <t>需求编号</t>
  </si>
  <si>
    <t>确认前状态</t>
  </si>
  <si>
    <t>系统/组件/对象模型</t>
  </si>
  <si>
    <t>代码状态</t>
  </si>
  <si>
    <t>当前证据</t>
  </si>
  <si>
    <t>缺口/下一步</t>
  </si>
  <si>
    <t>REQ01</t>
  </si>
  <si>
    <t>SYS/COMP/OBJ-SEQ01（已有）</t>
  </si>
  <si>
    <t>已实现</t>
  </si>
  <si>
    <t>认证支撑 3 条</t>
  </si>
  <si>
    <t>测试报告 + 图</t>
  </si>
  <si>
    <t>补业务规则单测</t>
  </si>
  <si>
    <t>REQ02</t>
  </si>
  <si>
    <t>SYS/COMP/OBJ-SEQ02（已有）</t>
  </si>
  <si>
    <t>REQ03</t>
  </si>
  <si>
    <t>SYS/COMP/OBJ-SEQ03（已有）</t>
  </si>
  <si>
    <t>REQ04</t>
  </si>
  <si>
    <t>SYS/COMP/OBJ-SEQ04（已有）</t>
  </si>
  <si>
    <t>REQ05</t>
  </si>
  <si>
    <t>SYS/COMP/OBJ-SEQ05（已有）</t>
  </si>
  <si>
    <t>REQ06</t>
  </si>
  <si>
    <t>SYS/COMP/OBJ-SEQ06（已有）</t>
  </si>
  <si>
    <t>INT-TC06-08/EX</t>
  </si>
  <si>
    <t>真实媒体流未测</t>
  </si>
  <si>
    <t>REQ07</t>
  </si>
  <si>
    <t>SYS/COMP/OBJ-SEQ07（已有）</t>
  </si>
  <si>
    <t>REQ08</t>
  </si>
  <si>
    <t>SYS/COMP/OBJ-SEQ08（已有）</t>
  </si>
  <si>
    <t>INT-TC06-08/INT-TC08-EX</t>
  </si>
  <si>
    <t>待补 REQ09</t>
  </si>
  <si>
    <t>无</t>
  </si>
  <si>
    <t>静态 mock</t>
  </si>
  <si>
    <t>代码审计</t>
  </si>
  <si>
    <t>确认计入后完整开发</t>
  </si>
  <si>
    <t>建议非独立</t>
  </si>
  <si>
    <t>不单列；或重定义业务闭环</t>
  </si>
  <si>
    <t>API 已实现</t>
  </si>
  <si>
    <t>不单列；若计入补全测试</t>
  </si>
  <si>
    <t>待补 REQ12</t>
  </si>
  <si>
    <t>未实现</t>
  </si>
  <si>
    <t>待补 REQ13</t>
  </si>
  <si>
    <t>待补 REQ14</t>
  </si>
  <si>
    <t>建议合并 UC04</t>
  </si>
  <si>
    <t>复用 UC04</t>
  </si>
  <si>
    <t>部分已实现</t>
  </si>
  <si>
    <t>复用</t>
  </si>
  <si>
    <t>教师确认合并</t>
  </si>
  <si>
    <t>待补 REQ16</t>
  </si>
  <si>
    <t>待补 REQ17</t>
  </si>
  <si>
    <t>待补 REQ18</t>
  </si>
  <si>
    <t>待补 REQ19</t>
  </si>
  <si>
    <t>第9组-StreamHub 验收证据索引</t>
  </si>
  <si>
    <t>证据包仅包含已存在的报告、测试代码、需求/设计文件和审计源码；未对未实现 UC09–UC19 伪造测试报告。</t>
  </si>
  <si>
    <t>编号</t>
  </si>
  <si>
    <t>证据类别</t>
  </si>
  <si>
    <t>证据包内相对路径</t>
  </si>
  <si>
    <t>对应范围</t>
  </si>
  <si>
    <t>可核对内容</t>
  </si>
  <si>
    <t>状态</t>
  </si>
  <si>
    <t>EV01</t>
  </si>
  <si>
    <t>测试报告</t>
  </si>
  <si>
    <t>UC01–UC08</t>
  </si>
  <si>
    <t>pytest：14 passed、58 warnings</t>
  </si>
  <si>
    <t>已复制</t>
  </si>
  <si>
    <t>EV02</t>
  </si>
  <si>
    <t>01_测试报告/e2e-tests.xml</t>
  </si>
  <si>
    <t>Playwright：3 passed、0 failures</t>
  </si>
  <si>
    <t>EV03</t>
  </si>
  <si>
    <t>测试代码</t>
  </si>
  <si>
    <t>02_测试代码/backend-tests/</t>
  </si>
  <si>
    <t>认证、UC01–UC08</t>
  </si>
  <si>
    <t>pytest 测试和 fixture</t>
  </si>
  <si>
    <t>EV04</t>
  </si>
  <si>
    <t>02_测试代码/e2e/streamhub.spec.ts</t>
  </si>
  <si>
    <t>Playwright 端到端脚本</t>
  </si>
  <si>
    <t>EV05</t>
  </si>
  <si>
    <t>测试配置</t>
  </si>
  <si>
    <t>02_测试代码/playwright.config.ts</t>
  </si>
  <si>
    <t>前端地址、JUnit 输出</t>
  </si>
  <si>
    <t>EV06</t>
  </si>
  <si>
    <t>需求/设计</t>
  </si>
  <si>
    <t>03_需求与设计/*.md</t>
  </si>
  <si>
    <t>需求、概要、详细设计说明书</t>
  </si>
  <si>
    <t>EV07</t>
  </si>
  <si>
    <t>模型图</t>
  </si>
  <si>
    <t>03_需求与设计/图/*.png</t>
  </si>
  <si>
    <t>用例图、概念类图、组件图、类图、三层顺序图</t>
  </si>
  <si>
    <t>EV08</t>
  </si>
  <si>
    <t>04_代码审计/backend/app/main.py</t>
  </si>
  <si>
    <t>实现/API 边界</t>
  </si>
  <si>
    <t>端点、鉴权、状态逻辑</t>
  </si>
  <si>
    <t>EV09</t>
  </si>
  <si>
    <t>04_代码审计/backend/app/models.py</t>
  </si>
  <si>
    <t>数据模型边界</t>
  </si>
  <si>
    <t>无 Follow/Report/Message 等模型依据</t>
  </si>
  <si>
    <t>EV10</t>
  </si>
  <si>
    <t>04_代码审计/src-pages/</t>
  </si>
  <si>
    <t>UC09–UC19</t>
  </si>
  <si>
    <t>静态 mock、alert、缺处理流程依据</t>
  </si>
  <si>
    <t>EV11</t>
  </si>
  <si>
    <t>运行配置</t>
  </si>
  <si>
    <t>04_代码审计/docker-compose.yml</t>
  </si>
  <si>
    <t>前后端和 PostgreSQL 容器编排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</si>
</sst>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7F6000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b/>
      <sz val="11"/>
      <color rgb="FF375623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3F8F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6">
    <dxf>
      <font>
        <color rgb="FF666666"/>
      </font>
      <fill>
        <patternFill patternType="solid">
          <bgColor rgb="FFEDEDED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color rgb="FF666666"/>
      </font>
      <fill>
        <patternFill patternType="solid">
          <bgColor rgb="FFEDEDED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showGridLines="0" tabSelected="1" topLeftCell="A7" workbookViewId="0">
      <selection activeCell="A25" sqref="A25"/>
    </sheetView>
  </sheetViews>
  <sheetFormatPr defaultRowHeight="13.8"/>
  <cols>
    <col min="1" max="1" width="10" customWidth="1"/>
    <col min="2" max="2" width="23" customWidth="1"/>
    <col min="3" max="3" width="14" customWidth="1"/>
    <col min="4" max="4" width="30" customWidth="1"/>
    <col min="5" max="5" width="31" customWidth="1"/>
    <col min="6" max="6" width="25" customWidth="1"/>
    <col min="7" max="7" width="16" customWidth="1"/>
    <col min="8" max="8" width="12" customWidth="1"/>
    <col min="9" max="9" width="13" customWidth="1"/>
    <col min="10" max="10" width="19" customWidth="1"/>
    <col min="11" max="11" width="38" customWidth="1"/>
    <col min="12" max="12" width="34" customWidth="1"/>
  </cols>
  <sheetData>
    <row r="1" spans="1:12" ht="28.0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3" spans="1:12" ht="34.950000000000003" customHeight="1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5" spans="1:12">
      <c r="A5" s="1" t="s">
        <v>2</v>
      </c>
      <c r="B5" s="1">
        <f>COUNTA(A8:A26)</f>
        <v>18</v>
      </c>
      <c r="C5" s="1" t="s">
        <v>3</v>
      </c>
      <c r="D5" s="1">
        <f>COUNTIF(C8:C26,"独立用例")</f>
        <v>15</v>
      </c>
      <c r="E5" s="1" t="s">
        <v>4</v>
      </c>
      <c r="F5" s="1">
        <f>COUNTIF(E8:E26,"已实现且已测试")</f>
        <v>18</v>
      </c>
      <c r="G5" s="1" t="s">
        <v>5</v>
      </c>
      <c r="H5" s="1">
        <f>COUNTIF(G8:G26,"待确认")</f>
        <v>18</v>
      </c>
      <c r="I5" s="1" t="s">
        <v>6</v>
      </c>
      <c r="J5" s="1">
        <f>COUNTIF(C8:C26,"非独立用例")+COUNTIF(C8:C26,"合并项")</f>
        <v>3</v>
      </c>
    </row>
    <row r="7" spans="1:12" ht="30" customHeight="1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18</v>
      </c>
    </row>
    <row r="8" spans="1:12" ht="27.6">
      <c r="A8" s="7" t="s">
        <v>19</v>
      </c>
      <c r="B8" s="8" t="s">
        <v>20</v>
      </c>
      <c r="C8" s="8" t="s">
        <v>21</v>
      </c>
      <c r="D8" s="8" t="s">
        <v>22</v>
      </c>
      <c r="E8" s="8" t="s">
        <v>23</v>
      </c>
      <c r="F8" s="8" t="s">
        <v>24</v>
      </c>
      <c r="G8" s="5" t="s">
        <v>25</v>
      </c>
      <c r="H8" s="5"/>
      <c r="I8" s="6"/>
      <c r="J8" s="8" t="str">
        <f t="shared" ref="J8:J26" si="0">IF(G8="计入","纳入最终验收",IF(G8="不计入","不纳入（已确认）",IF(G8="合并","合并/不单列",IF(G8="非用例","不作为独立用例","待教师确认"))))</f>
        <v>待教师确认</v>
      </c>
      <c r="K8" s="8" t="s">
        <v>26</v>
      </c>
      <c r="L8" s="8" t="s">
        <v>27</v>
      </c>
    </row>
    <row r="9" spans="1:12" ht="27.6">
      <c r="A9" s="4" t="s">
        <v>28</v>
      </c>
      <c r="B9" s="3" t="s">
        <v>29</v>
      </c>
      <c r="C9" s="3" t="s">
        <v>21</v>
      </c>
      <c r="D9" s="3" t="s">
        <v>30</v>
      </c>
      <c r="E9" s="3" t="s">
        <v>23</v>
      </c>
      <c r="F9" s="3" t="s">
        <v>24</v>
      </c>
      <c r="G9" s="5" t="s">
        <v>25</v>
      </c>
      <c r="H9" s="5"/>
      <c r="I9" s="6"/>
      <c r="J9" s="3" t="str">
        <f t="shared" si="0"/>
        <v>待教师确认</v>
      </c>
      <c r="K9" s="3" t="s">
        <v>31</v>
      </c>
      <c r="L9" s="3" t="s">
        <v>32</v>
      </c>
    </row>
    <row r="10" spans="1:12">
      <c r="A10" s="7" t="s">
        <v>33</v>
      </c>
      <c r="B10" s="8" t="s">
        <v>34</v>
      </c>
      <c r="C10" s="8" t="s">
        <v>21</v>
      </c>
      <c r="D10" s="8" t="s">
        <v>35</v>
      </c>
      <c r="E10" s="8" t="s">
        <v>23</v>
      </c>
      <c r="F10" s="8" t="s">
        <v>24</v>
      </c>
      <c r="G10" s="5" t="s">
        <v>25</v>
      </c>
      <c r="H10" s="5"/>
      <c r="I10" s="6"/>
      <c r="J10" s="8" t="str">
        <f t="shared" si="0"/>
        <v>待教师确认</v>
      </c>
      <c r="K10" s="8" t="s">
        <v>36</v>
      </c>
      <c r="L10" s="8" t="s">
        <v>37</v>
      </c>
    </row>
    <row r="11" spans="1:12" ht="27.6">
      <c r="A11" s="4" t="s">
        <v>38</v>
      </c>
      <c r="B11" s="3" t="s">
        <v>39</v>
      </c>
      <c r="C11" s="3" t="s">
        <v>21</v>
      </c>
      <c r="D11" s="3" t="s">
        <v>40</v>
      </c>
      <c r="E11" s="3" t="s">
        <v>23</v>
      </c>
      <c r="F11" s="3" t="s">
        <v>24</v>
      </c>
      <c r="G11" s="5" t="s">
        <v>25</v>
      </c>
      <c r="H11" s="5"/>
      <c r="I11" s="6"/>
      <c r="J11" s="3" t="str">
        <f t="shared" si="0"/>
        <v>待教师确认</v>
      </c>
      <c r="K11" s="3" t="s">
        <v>41</v>
      </c>
      <c r="L11" s="3" t="s">
        <v>42</v>
      </c>
    </row>
    <row r="12" spans="1:12" ht="27.6">
      <c r="A12" s="7" t="s">
        <v>43</v>
      </c>
      <c r="B12" s="8" t="s">
        <v>44</v>
      </c>
      <c r="C12" s="8" t="s">
        <v>21</v>
      </c>
      <c r="D12" s="8" t="s">
        <v>45</v>
      </c>
      <c r="E12" s="8" t="s">
        <v>23</v>
      </c>
      <c r="F12" s="8" t="s">
        <v>24</v>
      </c>
      <c r="G12" s="5" t="s">
        <v>25</v>
      </c>
      <c r="H12" s="5"/>
      <c r="I12" s="6"/>
      <c r="J12" s="8" t="str">
        <f t="shared" si="0"/>
        <v>待教师确认</v>
      </c>
      <c r="K12" s="8" t="s">
        <v>46</v>
      </c>
      <c r="L12" s="8" t="s">
        <v>47</v>
      </c>
    </row>
    <row r="13" spans="1:12" ht="27.6">
      <c r="A13" s="4" t="s">
        <v>48</v>
      </c>
      <c r="B13" s="3" t="s">
        <v>49</v>
      </c>
      <c r="C13" s="3" t="s">
        <v>21</v>
      </c>
      <c r="D13" s="3" t="s">
        <v>50</v>
      </c>
      <c r="E13" s="3" t="s">
        <v>23</v>
      </c>
      <c r="F13" s="3" t="s">
        <v>24</v>
      </c>
      <c r="G13" s="5" t="s">
        <v>25</v>
      </c>
      <c r="H13" s="5"/>
      <c r="I13" s="6"/>
      <c r="J13" s="3" t="str">
        <f t="shared" si="0"/>
        <v>待教师确认</v>
      </c>
      <c r="K13" s="3" t="s">
        <v>51</v>
      </c>
      <c r="L13" s="3" t="s">
        <v>52</v>
      </c>
    </row>
    <row r="14" spans="1:12" ht="27.6">
      <c r="A14" s="7" t="s">
        <v>53</v>
      </c>
      <c r="B14" s="8" t="s">
        <v>54</v>
      </c>
      <c r="C14" s="8" t="s">
        <v>21</v>
      </c>
      <c r="D14" s="8" t="s">
        <v>55</v>
      </c>
      <c r="E14" s="8" t="s">
        <v>23</v>
      </c>
      <c r="F14" s="8" t="s">
        <v>24</v>
      </c>
      <c r="G14" s="5" t="s">
        <v>25</v>
      </c>
      <c r="H14" s="5"/>
      <c r="I14" s="6"/>
      <c r="J14" s="8" t="str">
        <f t="shared" si="0"/>
        <v>待教师确认</v>
      </c>
      <c r="K14" s="8" t="s">
        <v>56</v>
      </c>
      <c r="L14" s="8" t="s">
        <v>57</v>
      </c>
    </row>
    <row r="15" spans="1:12" ht="27.6">
      <c r="A15" s="4" t="s">
        <v>58</v>
      </c>
      <c r="B15" s="3" t="s">
        <v>59</v>
      </c>
      <c r="C15" s="3" t="s">
        <v>21</v>
      </c>
      <c r="D15" s="3" t="s">
        <v>60</v>
      </c>
      <c r="E15" s="3" t="s">
        <v>23</v>
      </c>
      <c r="F15" s="3" t="s">
        <v>24</v>
      </c>
      <c r="G15" s="5" t="s">
        <v>25</v>
      </c>
      <c r="H15" s="5"/>
      <c r="I15" s="6"/>
      <c r="J15" s="3" t="str">
        <f t="shared" si="0"/>
        <v>待教师确认</v>
      </c>
      <c r="K15" s="3" t="s">
        <v>46</v>
      </c>
      <c r="L15" s="3" t="s">
        <v>61</v>
      </c>
    </row>
    <row r="16" spans="1:12" ht="27.6">
      <c r="A16" s="7" t="s">
        <v>62</v>
      </c>
      <c r="B16" s="8" t="s">
        <v>63</v>
      </c>
      <c r="C16" s="8" t="s">
        <v>21</v>
      </c>
      <c r="D16" s="8" t="s">
        <v>64</v>
      </c>
      <c r="E16" s="3" t="s">
        <v>23</v>
      </c>
      <c r="F16" s="3" t="s">
        <v>24</v>
      </c>
      <c r="G16" s="5" t="s">
        <v>25</v>
      </c>
      <c r="H16" s="5"/>
      <c r="I16" s="6"/>
      <c r="J16" s="8" t="str">
        <f t="shared" si="0"/>
        <v>待教师确认</v>
      </c>
      <c r="K16" s="8" t="s">
        <v>65</v>
      </c>
      <c r="L16" s="8" t="s">
        <v>66</v>
      </c>
    </row>
    <row r="17" spans="1:12" ht="27.6">
      <c r="A17" s="4" t="s">
        <v>67</v>
      </c>
      <c r="B17" s="3" t="s">
        <v>68</v>
      </c>
      <c r="C17" s="3" t="s">
        <v>69</v>
      </c>
      <c r="D17" s="3" t="s">
        <v>70</v>
      </c>
      <c r="E17" s="3" t="s">
        <v>23</v>
      </c>
      <c r="F17" s="3" t="s">
        <v>24</v>
      </c>
      <c r="G17" s="5" t="s">
        <v>25</v>
      </c>
      <c r="H17" s="5"/>
      <c r="I17" s="6"/>
      <c r="J17" s="3" t="str">
        <f t="shared" si="0"/>
        <v>待教师确认</v>
      </c>
      <c r="K17" s="3" t="s">
        <v>71</v>
      </c>
      <c r="L17" s="3" t="s">
        <v>72</v>
      </c>
    </row>
    <row r="18" spans="1:12" ht="27.6">
      <c r="A18" s="7" t="s">
        <v>73</v>
      </c>
      <c r="B18" s="8" t="s">
        <v>74</v>
      </c>
      <c r="C18" s="8" t="s">
        <v>69</v>
      </c>
      <c r="D18" s="8" t="s">
        <v>75</v>
      </c>
      <c r="E18" s="3" t="s">
        <v>23</v>
      </c>
      <c r="F18" s="3" t="s">
        <v>24</v>
      </c>
      <c r="G18" s="5" t="s">
        <v>25</v>
      </c>
      <c r="H18" s="5"/>
      <c r="I18" s="6"/>
      <c r="J18" s="8" t="str">
        <f t="shared" si="0"/>
        <v>待教师确认</v>
      </c>
      <c r="K18" s="8" t="s">
        <v>76</v>
      </c>
      <c r="L18" s="8" t="s">
        <v>77</v>
      </c>
    </row>
    <row r="19" spans="1:12" ht="27.6">
      <c r="A19" s="4" t="s">
        <v>78</v>
      </c>
      <c r="B19" s="3" t="s">
        <v>79</v>
      </c>
      <c r="C19" s="3" t="s">
        <v>21</v>
      </c>
      <c r="D19" s="3" t="s">
        <v>80</v>
      </c>
      <c r="E19" s="3" t="s">
        <v>23</v>
      </c>
      <c r="F19" s="3" t="s">
        <v>24</v>
      </c>
      <c r="G19" s="5" t="s">
        <v>25</v>
      </c>
      <c r="H19" s="5"/>
      <c r="I19" s="6"/>
      <c r="J19" s="3" t="str">
        <f t="shared" si="0"/>
        <v>待教师确认</v>
      </c>
      <c r="K19" s="3" t="s">
        <v>81</v>
      </c>
      <c r="L19" s="3" t="s">
        <v>82</v>
      </c>
    </row>
    <row r="20" spans="1:12" ht="27.6">
      <c r="A20" s="7" t="s">
        <v>83</v>
      </c>
      <c r="B20" s="8" t="s">
        <v>84</v>
      </c>
      <c r="C20" s="8" t="s">
        <v>21</v>
      </c>
      <c r="D20" s="8" t="s">
        <v>85</v>
      </c>
      <c r="E20" s="3" t="s">
        <v>23</v>
      </c>
      <c r="F20" s="3" t="s">
        <v>24</v>
      </c>
      <c r="G20" s="5" t="s">
        <v>25</v>
      </c>
      <c r="H20" s="5"/>
      <c r="I20" s="6"/>
      <c r="J20" s="8" t="str">
        <f t="shared" si="0"/>
        <v>待教师确认</v>
      </c>
      <c r="K20" s="8" t="s">
        <v>86</v>
      </c>
      <c r="L20" s="8" t="s">
        <v>87</v>
      </c>
    </row>
    <row r="21" spans="1:12" ht="27.6">
      <c r="A21" s="4" t="s">
        <v>88</v>
      </c>
      <c r="B21" s="3" t="s">
        <v>89</v>
      </c>
      <c r="C21" s="3" t="s">
        <v>21</v>
      </c>
      <c r="D21" s="3" t="s">
        <v>90</v>
      </c>
      <c r="E21" s="3" t="s">
        <v>23</v>
      </c>
      <c r="F21" s="3" t="s">
        <v>24</v>
      </c>
      <c r="G21" s="5" t="s">
        <v>25</v>
      </c>
      <c r="H21" s="5"/>
      <c r="I21" s="6"/>
      <c r="J21" s="3" t="str">
        <f t="shared" si="0"/>
        <v>待教师确认</v>
      </c>
      <c r="K21" s="3" t="s">
        <v>91</v>
      </c>
      <c r="L21" s="3" t="s">
        <v>92</v>
      </c>
    </row>
    <row r="22" spans="1:12" ht="27.6">
      <c r="A22" s="7" t="s">
        <v>93</v>
      </c>
      <c r="B22" s="8" t="s">
        <v>94</v>
      </c>
      <c r="C22" s="8" t="s">
        <v>95</v>
      </c>
      <c r="D22" s="8" t="s">
        <v>96</v>
      </c>
      <c r="E22" s="3" t="s">
        <v>23</v>
      </c>
      <c r="F22" s="3" t="s">
        <v>24</v>
      </c>
      <c r="G22" s="5" t="s">
        <v>25</v>
      </c>
      <c r="H22" s="5"/>
      <c r="I22" s="6"/>
      <c r="J22" s="8" t="str">
        <f t="shared" si="0"/>
        <v>待教师确认</v>
      </c>
      <c r="K22" s="8" t="s">
        <v>97</v>
      </c>
      <c r="L22" s="8" t="s">
        <v>98</v>
      </c>
    </row>
    <row r="23" spans="1:12" ht="27.6">
      <c r="A23" s="4" t="s">
        <v>99</v>
      </c>
      <c r="B23" s="3" t="s">
        <v>100</v>
      </c>
      <c r="C23" s="3" t="s">
        <v>21</v>
      </c>
      <c r="D23" s="3" t="s">
        <v>101</v>
      </c>
      <c r="E23" s="3" t="s">
        <v>23</v>
      </c>
      <c r="F23" s="3" t="s">
        <v>24</v>
      </c>
      <c r="G23" s="5" t="s">
        <v>25</v>
      </c>
      <c r="H23" s="5"/>
      <c r="I23" s="6"/>
      <c r="J23" s="3" t="str">
        <f t="shared" si="0"/>
        <v>待教师确认</v>
      </c>
      <c r="K23" s="3" t="s">
        <v>102</v>
      </c>
      <c r="L23" s="3" t="s">
        <v>103</v>
      </c>
    </row>
    <row r="24" spans="1:12">
      <c r="A24" s="7" t="s">
        <v>104</v>
      </c>
      <c r="B24" s="8" t="s">
        <v>105</v>
      </c>
      <c r="C24" s="8" t="s">
        <v>21</v>
      </c>
      <c r="D24" s="8" t="s">
        <v>106</v>
      </c>
      <c r="E24" s="3" t="s">
        <v>23</v>
      </c>
      <c r="F24" s="3" t="s">
        <v>24</v>
      </c>
      <c r="G24" s="5" t="s">
        <v>25</v>
      </c>
      <c r="H24" s="5"/>
      <c r="I24" s="6"/>
      <c r="J24" s="8" t="str">
        <f t="shared" si="0"/>
        <v>待教师确认</v>
      </c>
      <c r="K24" s="8" t="s">
        <v>107</v>
      </c>
      <c r="L24" s="8" t="s">
        <v>108</v>
      </c>
    </row>
    <row r="25" spans="1:12">
      <c r="A25" s="4"/>
      <c r="B25" s="3"/>
      <c r="C25" s="3"/>
      <c r="D25" s="3"/>
      <c r="E25" s="3"/>
      <c r="F25" s="3"/>
      <c r="G25" s="5"/>
      <c r="H25" s="5"/>
      <c r="I25" s="6"/>
      <c r="J25" s="3"/>
      <c r="K25" s="3"/>
      <c r="L25" s="3"/>
    </row>
    <row r="26" spans="1:12" ht="27.6">
      <c r="A26" s="7" t="s">
        <v>109</v>
      </c>
      <c r="B26" s="8" t="s">
        <v>111</v>
      </c>
      <c r="C26" s="8" t="s">
        <v>21</v>
      </c>
      <c r="D26" s="8" t="s">
        <v>112</v>
      </c>
      <c r="E26" s="3" t="s">
        <v>23</v>
      </c>
      <c r="F26" s="3" t="s">
        <v>24</v>
      </c>
      <c r="G26" s="5" t="s">
        <v>25</v>
      </c>
      <c r="H26" s="5"/>
      <c r="I26" s="6"/>
      <c r="J26" s="8" t="str">
        <f t="shared" si="0"/>
        <v>待教师确认</v>
      </c>
      <c r="K26" s="8" t="s">
        <v>113</v>
      </c>
      <c r="L26" s="8" t="s">
        <v>114</v>
      </c>
    </row>
  </sheetData>
  <mergeCells count="2">
    <mergeCell ref="A1:L1"/>
    <mergeCell ref="A3:L3"/>
  </mergeCells>
  <conditionalFormatting sqref="J8:J26">
    <cfRule type="containsText" dxfId="5" priority="1" operator="containsText" text="纳入"/>
    <cfRule type="containsText" dxfId="4" priority="2" operator="containsText" text="待教师"/>
    <cfRule type="containsText" dxfId="3" priority="3" operator="containsText" text="不纳入"/>
  </conditionalFormatting>
  <dataValidations count="1">
    <dataValidation type="list" sqref="G8:G26" xr:uid="{00000000-0002-0000-0000-000000000000}">
      <formula1>"待确认,计入,不计入,合并,非用例"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showGridLines="0" workbookViewId="0"/>
  </sheetViews>
  <sheetFormatPr defaultRowHeight="13.8"/>
  <cols>
    <col min="1" max="1" width="10" customWidth="1"/>
    <col min="2" max="2" width="22" customWidth="1"/>
    <col min="3" max="3" width="15" customWidth="1"/>
    <col min="4" max="5" width="26" customWidth="1"/>
    <col min="6" max="6" width="12" customWidth="1"/>
    <col min="7" max="7" width="31" customWidth="1"/>
    <col min="8" max="8" width="26" customWidth="1"/>
    <col min="9" max="9" width="36" customWidth="1"/>
    <col min="10" max="10" width="22" customWidth="1"/>
  </cols>
  <sheetData>
    <row r="1" spans="1:10" ht="28.05" customHeight="1">
      <c r="A1" s="10" t="s">
        <v>115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ht="34.049999999999997" customHeight="1">
      <c r="A3" s="12" t="s">
        <v>116</v>
      </c>
      <c r="B3" s="12"/>
      <c r="C3" s="12"/>
      <c r="D3" s="12"/>
      <c r="E3" s="12"/>
      <c r="F3" s="12"/>
      <c r="G3" s="12"/>
      <c r="H3" s="12"/>
      <c r="I3" s="12"/>
      <c r="J3" s="12"/>
    </row>
    <row r="5" spans="1:10">
      <c r="A5" s="1" t="s">
        <v>117</v>
      </c>
      <c r="B5" s="1">
        <v>3</v>
      </c>
      <c r="C5" s="1" t="s">
        <v>118</v>
      </c>
      <c r="D5" s="1">
        <v>11</v>
      </c>
      <c r="E5" s="1" t="s">
        <v>119</v>
      </c>
      <c r="F5" s="1">
        <v>3</v>
      </c>
      <c r="G5" s="1" t="s">
        <v>120</v>
      </c>
      <c r="H5" s="1">
        <f>B5+D5+F5</f>
        <v>17</v>
      </c>
    </row>
    <row r="7" spans="1:10" ht="30" customHeight="1">
      <c r="A7" s="2" t="s">
        <v>121</v>
      </c>
      <c r="B7" s="2" t="s">
        <v>122</v>
      </c>
      <c r="C7" s="2" t="s">
        <v>123</v>
      </c>
      <c r="D7" s="2" t="s">
        <v>124</v>
      </c>
      <c r="E7" s="2" t="s">
        <v>125</v>
      </c>
      <c r="F7" s="2" t="s">
        <v>126</v>
      </c>
      <c r="G7" s="2" t="s">
        <v>127</v>
      </c>
      <c r="H7" s="2" t="s">
        <v>128</v>
      </c>
      <c r="I7" s="2" t="s">
        <v>129</v>
      </c>
      <c r="J7" s="2" t="s">
        <v>130</v>
      </c>
    </row>
    <row r="8" spans="1:10" ht="27.6">
      <c r="A8" s="7" t="s">
        <v>131</v>
      </c>
      <c r="B8" s="8" t="s">
        <v>132</v>
      </c>
      <c r="C8" s="8" t="s">
        <v>133</v>
      </c>
      <c r="D8" s="8" t="s">
        <v>134</v>
      </c>
      <c r="E8" s="8" t="s">
        <v>133</v>
      </c>
      <c r="F8" s="9" t="s">
        <v>135</v>
      </c>
      <c r="G8" s="8" t="s">
        <v>136</v>
      </c>
      <c r="H8" s="8" t="s">
        <v>137</v>
      </c>
      <c r="I8" s="8" t="s">
        <v>138</v>
      </c>
      <c r="J8" s="8" t="s">
        <v>139</v>
      </c>
    </row>
    <row r="9" spans="1:10">
      <c r="A9" s="4" t="s">
        <v>19</v>
      </c>
      <c r="B9" s="3" t="s">
        <v>140</v>
      </c>
      <c r="C9" s="3" t="s">
        <v>141</v>
      </c>
      <c r="D9" s="3" t="s">
        <v>142</v>
      </c>
      <c r="E9" s="3" t="s">
        <v>143</v>
      </c>
      <c r="F9" s="9" t="s">
        <v>135</v>
      </c>
      <c r="G9" s="3" t="s">
        <v>144</v>
      </c>
      <c r="H9" s="3" t="s">
        <v>145</v>
      </c>
      <c r="I9" s="3" t="s">
        <v>146</v>
      </c>
      <c r="J9" s="3" t="s">
        <v>147</v>
      </c>
    </row>
    <row r="10" spans="1:10">
      <c r="A10" s="7" t="s">
        <v>28</v>
      </c>
      <c r="B10" s="8" t="s">
        <v>29</v>
      </c>
      <c r="C10" s="8" t="s">
        <v>141</v>
      </c>
      <c r="D10" s="8" t="s">
        <v>148</v>
      </c>
      <c r="E10" s="8" t="s">
        <v>143</v>
      </c>
      <c r="F10" s="9" t="s">
        <v>135</v>
      </c>
      <c r="G10" s="8" t="s">
        <v>149</v>
      </c>
      <c r="H10" s="8" t="s">
        <v>150</v>
      </c>
      <c r="I10" s="8" t="s">
        <v>146</v>
      </c>
      <c r="J10" s="8" t="s">
        <v>147</v>
      </c>
    </row>
    <row r="11" spans="1:10">
      <c r="A11" s="4" t="s">
        <v>33</v>
      </c>
      <c r="B11" s="3" t="s">
        <v>34</v>
      </c>
      <c r="C11" s="3" t="s">
        <v>141</v>
      </c>
      <c r="D11" s="3" t="s">
        <v>151</v>
      </c>
      <c r="E11" s="3" t="s">
        <v>152</v>
      </c>
      <c r="F11" s="9" t="s">
        <v>135</v>
      </c>
      <c r="G11" s="3" t="s">
        <v>153</v>
      </c>
      <c r="H11" s="3" t="s">
        <v>154</v>
      </c>
      <c r="I11" s="3" t="s">
        <v>146</v>
      </c>
      <c r="J11" s="3" t="s">
        <v>147</v>
      </c>
    </row>
    <row r="12" spans="1:10">
      <c r="A12" s="7" t="s">
        <v>38</v>
      </c>
      <c r="B12" s="8" t="s">
        <v>39</v>
      </c>
      <c r="C12" s="8" t="s">
        <v>141</v>
      </c>
      <c r="D12" s="8" t="s">
        <v>155</v>
      </c>
      <c r="E12" s="8" t="s">
        <v>152</v>
      </c>
      <c r="F12" s="9" t="s">
        <v>135</v>
      </c>
      <c r="G12" s="8" t="s">
        <v>156</v>
      </c>
      <c r="H12" s="8" t="s">
        <v>157</v>
      </c>
      <c r="I12" s="8" t="s">
        <v>146</v>
      </c>
      <c r="J12" s="8" t="s">
        <v>147</v>
      </c>
    </row>
    <row r="13" spans="1:10">
      <c r="A13" s="4" t="s">
        <v>43</v>
      </c>
      <c r="B13" s="3" t="s">
        <v>44</v>
      </c>
      <c r="C13" s="3" t="s">
        <v>141</v>
      </c>
      <c r="D13" s="3" t="s">
        <v>158</v>
      </c>
      <c r="E13" s="3" t="s">
        <v>152</v>
      </c>
      <c r="F13" s="9" t="s">
        <v>135</v>
      </c>
      <c r="G13" s="3" t="s">
        <v>159</v>
      </c>
      <c r="H13" s="3" t="s">
        <v>133</v>
      </c>
      <c r="I13" s="3" t="s">
        <v>146</v>
      </c>
      <c r="J13" s="3" t="s">
        <v>147</v>
      </c>
    </row>
    <row r="14" spans="1:10">
      <c r="A14" s="7" t="s">
        <v>48</v>
      </c>
      <c r="B14" s="8" t="s">
        <v>49</v>
      </c>
      <c r="C14" s="8" t="s">
        <v>141</v>
      </c>
      <c r="D14" s="8" t="s">
        <v>160</v>
      </c>
      <c r="E14" s="8" t="s">
        <v>161</v>
      </c>
      <c r="F14" s="9" t="s">
        <v>135</v>
      </c>
      <c r="G14" s="8" t="s">
        <v>162</v>
      </c>
      <c r="H14" s="8" t="s">
        <v>163</v>
      </c>
      <c r="I14" s="8" t="s">
        <v>146</v>
      </c>
      <c r="J14" s="8" t="s">
        <v>147</v>
      </c>
    </row>
    <row r="15" spans="1:10" ht="27.6">
      <c r="A15" s="4" t="s">
        <v>53</v>
      </c>
      <c r="B15" s="3" t="s">
        <v>54</v>
      </c>
      <c r="C15" s="3" t="s">
        <v>141</v>
      </c>
      <c r="D15" s="3" t="s">
        <v>164</v>
      </c>
      <c r="E15" s="3" t="s">
        <v>161</v>
      </c>
      <c r="F15" s="9" t="s">
        <v>135</v>
      </c>
      <c r="G15" s="3" t="s">
        <v>165</v>
      </c>
      <c r="H15" s="3" t="s">
        <v>166</v>
      </c>
      <c r="I15" s="3" t="s">
        <v>146</v>
      </c>
      <c r="J15" s="3" t="s">
        <v>147</v>
      </c>
    </row>
    <row r="16" spans="1:10">
      <c r="A16" s="7" t="s">
        <v>58</v>
      </c>
      <c r="B16" s="8" t="s">
        <v>59</v>
      </c>
      <c r="C16" s="8" t="s">
        <v>141</v>
      </c>
      <c r="D16" s="8" t="s">
        <v>167</v>
      </c>
      <c r="E16" s="8" t="s">
        <v>161</v>
      </c>
      <c r="F16" s="9" t="s">
        <v>135</v>
      </c>
      <c r="G16" s="8" t="s">
        <v>168</v>
      </c>
      <c r="H16" s="8" t="s">
        <v>133</v>
      </c>
      <c r="I16" s="8" t="s">
        <v>146</v>
      </c>
      <c r="J16" s="8" t="s">
        <v>147</v>
      </c>
    </row>
  </sheetData>
  <mergeCells count="2">
    <mergeCell ref="A1:J1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showGridLines="0" workbookViewId="0"/>
  </sheetViews>
  <sheetFormatPr defaultRowHeight="13.8"/>
  <cols>
    <col min="1" max="1" width="10" customWidth="1"/>
    <col min="2" max="2" width="15" customWidth="1"/>
    <col min="3" max="3" width="20" customWidth="1"/>
    <col min="4" max="4" width="28" customWidth="1"/>
    <col min="5" max="5" width="17" customWidth="1"/>
    <col min="6" max="8" width="20" customWidth="1"/>
    <col min="9" max="9" width="21" customWidth="1"/>
    <col min="10" max="10" width="31" customWidth="1"/>
  </cols>
  <sheetData>
    <row r="1" spans="1:10" ht="28.05" customHeight="1">
      <c r="A1" s="10" t="s">
        <v>169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ht="34.049999999999997" customHeight="1">
      <c r="A3" s="12" t="s">
        <v>170</v>
      </c>
      <c r="B3" s="12"/>
      <c r="C3" s="12"/>
      <c r="D3" s="12"/>
      <c r="E3" s="12"/>
      <c r="F3" s="12"/>
      <c r="G3" s="12"/>
      <c r="H3" s="12"/>
      <c r="I3" s="12"/>
      <c r="J3" s="12"/>
    </row>
    <row r="5" spans="1:10" ht="30" customHeight="1">
      <c r="A5" s="2" t="s">
        <v>171</v>
      </c>
      <c r="B5" s="2" t="s">
        <v>172</v>
      </c>
      <c r="C5" s="2" t="s">
        <v>173</v>
      </c>
      <c r="D5" s="2" t="s">
        <v>174</v>
      </c>
      <c r="E5" s="2" t="s">
        <v>175</v>
      </c>
      <c r="F5" s="2" t="s">
        <v>123</v>
      </c>
      <c r="G5" s="2" t="s">
        <v>118</v>
      </c>
      <c r="H5" s="2" t="s">
        <v>119</v>
      </c>
      <c r="I5" s="2" t="s">
        <v>176</v>
      </c>
      <c r="J5" s="2" t="s">
        <v>177</v>
      </c>
    </row>
    <row r="6" spans="1:10" ht="27.6">
      <c r="A6" s="7" t="s">
        <v>19</v>
      </c>
      <c r="B6" s="8" t="s">
        <v>178</v>
      </c>
      <c r="C6" s="8" t="s">
        <v>147</v>
      </c>
      <c r="D6" s="8" t="s">
        <v>179</v>
      </c>
      <c r="E6" s="8" t="s">
        <v>180</v>
      </c>
      <c r="F6" s="8" t="s">
        <v>181</v>
      </c>
      <c r="G6" s="8" t="s">
        <v>142</v>
      </c>
      <c r="H6" s="8" t="s">
        <v>143</v>
      </c>
      <c r="I6" s="8" t="s">
        <v>182</v>
      </c>
      <c r="J6" s="8" t="s">
        <v>183</v>
      </c>
    </row>
    <row r="7" spans="1:10" ht="27.6">
      <c r="A7" s="4" t="s">
        <v>28</v>
      </c>
      <c r="B7" s="3" t="s">
        <v>184</v>
      </c>
      <c r="C7" s="3" t="s">
        <v>147</v>
      </c>
      <c r="D7" s="3" t="s">
        <v>185</v>
      </c>
      <c r="E7" s="3" t="s">
        <v>180</v>
      </c>
      <c r="F7" s="3" t="s">
        <v>181</v>
      </c>
      <c r="G7" s="3" t="s">
        <v>148</v>
      </c>
      <c r="H7" s="3" t="s">
        <v>143</v>
      </c>
      <c r="I7" s="3" t="s">
        <v>182</v>
      </c>
      <c r="J7" s="3" t="s">
        <v>183</v>
      </c>
    </row>
    <row r="8" spans="1:10" ht="27.6">
      <c r="A8" s="7" t="s">
        <v>33</v>
      </c>
      <c r="B8" s="8" t="s">
        <v>186</v>
      </c>
      <c r="C8" s="8" t="s">
        <v>147</v>
      </c>
      <c r="D8" s="8" t="s">
        <v>187</v>
      </c>
      <c r="E8" s="8" t="s">
        <v>180</v>
      </c>
      <c r="F8" s="8" t="s">
        <v>181</v>
      </c>
      <c r="G8" s="8" t="s">
        <v>151</v>
      </c>
      <c r="H8" s="8" t="s">
        <v>152</v>
      </c>
      <c r="I8" s="8" t="s">
        <v>182</v>
      </c>
      <c r="J8" s="8" t="s">
        <v>183</v>
      </c>
    </row>
    <row r="9" spans="1:10" ht="27.6">
      <c r="A9" s="4" t="s">
        <v>38</v>
      </c>
      <c r="B9" s="3" t="s">
        <v>188</v>
      </c>
      <c r="C9" s="3" t="s">
        <v>147</v>
      </c>
      <c r="D9" s="3" t="s">
        <v>189</v>
      </c>
      <c r="E9" s="3" t="s">
        <v>180</v>
      </c>
      <c r="F9" s="3" t="s">
        <v>181</v>
      </c>
      <c r="G9" s="3" t="s">
        <v>155</v>
      </c>
      <c r="H9" s="3" t="s">
        <v>152</v>
      </c>
      <c r="I9" s="3" t="s">
        <v>182</v>
      </c>
      <c r="J9" s="3" t="s">
        <v>133</v>
      </c>
    </row>
    <row r="10" spans="1:10" ht="27.6">
      <c r="A10" s="7" t="s">
        <v>43</v>
      </c>
      <c r="B10" s="8" t="s">
        <v>190</v>
      </c>
      <c r="C10" s="8" t="s">
        <v>147</v>
      </c>
      <c r="D10" s="8" t="s">
        <v>191</v>
      </c>
      <c r="E10" s="8" t="s">
        <v>180</v>
      </c>
      <c r="F10" s="8" t="s">
        <v>181</v>
      </c>
      <c r="G10" s="8" t="s">
        <v>158</v>
      </c>
      <c r="H10" s="8" t="s">
        <v>152</v>
      </c>
      <c r="I10" s="8" t="s">
        <v>182</v>
      </c>
      <c r="J10" s="8" t="s">
        <v>183</v>
      </c>
    </row>
    <row r="11" spans="1:10" ht="27.6">
      <c r="A11" s="4" t="s">
        <v>48</v>
      </c>
      <c r="B11" s="3" t="s">
        <v>192</v>
      </c>
      <c r="C11" s="3" t="s">
        <v>147</v>
      </c>
      <c r="D11" s="3" t="s">
        <v>193</v>
      </c>
      <c r="E11" s="3" t="s">
        <v>180</v>
      </c>
      <c r="F11" s="3" t="s">
        <v>181</v>
      </c>
      <c r="G11" s="3" t="s">
        <v>194</v>
      </c>
      <c r="H11" s="3" t="s">
        <v>161</v>
      </c>
      <c r="I11" s="3" t="s">
        <v>182</v>
      </c>
      <c r="J11" s="3" t="s">
        <v>195</v>
      </c>
    </row>
    <row r="12" spans="1:10" ht="27.6">
      <c r="A12" s="7" t="s">
        <v>53</v>
      </c>
      <c r="B12" s="8" t="s">
        <v>196</v>
      </c>
      <c r="C12" s="8" t="s">
        <v>147</v>
      </c>
      <c r="D12" s="8" t="s">
        <v>197</v>
      </c>
      <c r="E12" s="8" t="s">
        <v>180</v>
      </c>
      <c r="F12" s="8" t="s">
        <v>181</v>
      </c>
      <c r="G12" s="8" t="s">
        <v>164</v>
      </c>
      <c r="H12" s="8" t="s">
        <v>161</v>
      </c>
      <c r="I12" s="8" t="s">
        <v>182</v>
      </c>
      <c r="J12" s="8" t="s">
        <v>195</v>
      </c>
    </row>
    <row r="13" spans="1:10" ht="27.6">
      <c r="A13" s="4" t="s">
        <v>58</v>
      </c>
      <c r="B13" s="3" t="s">
        <v>198</v>
      </c>
      <c r="C13" s="3" t="s">
        <v>147</v>
      </c>
      <c r="D13" s="3" t="s">
        <v>199</v>
      </c>
      <c r="E13" s="3" t="s">
        <v>180</v>
      </c>
      <c r="F13" s="3" t="s">
        <v>181</v>
      </c>
      <c r="G13" s="3" t="s">
        <v>200</v>
      </c>
      <c r="H13" s="3" t="s">
        <v>161</v>
      </c>
      <c r="I13" s="3" t="s">
        <v>182</v>
      </c>
      <c r="J13" s="3" t="s">
        <v>183</v>
      </c>
    </row>
    <row r="14" spans="1:10">
      <c r="A14" s="7" t="s">
        <v>62</v>
      </c>
      <c r="B14" s="8" t="s">
        <v>201</v>
      </c>
      <c r="C14" s="8" t="s">
        <v>25</v>
      </c>
      <c r="D14" s="8" t="s">
        <v>202</v>
      </c>
      <c r="E14" s="8" t="s">
        <v>203</v>
      </c>
      <c r="F14" s="8" t="s">
        <v>202</v>
      </c>
      <c r="G14" s="8" t="s">
        <v>202</v>
      </c>
      <c r="H14" s="8" t="s">
        <v>202</v>
      </c>
      <c r="I14" s="8" t="s">
        <v>204</v>
      </c>
      <c r="J14" s="8" t="s">
        <v>205</v>
      </c>
    </row>
    <row r="15" spans="1:10">
      <c r="A15" s="4" t="s">
        <v>67</v>
      </c>
      <c r="B15" s="3" t="s">
        <v>133</v>
      </c>
      <c r="C15" s="3" t="s">
        <v>206</v>
      </c>
      <c r="D15" s="3" t="s">
        <v>202</v>
      </c>
      <c r="E15" s="3" t="s">
        <v>203</v>
      </c>
      <c r="F15" s="3" t="s">
        <v>202</v>
      </c>
      <c r="G15" s="3" t="s">
        <v>202</v>
      </c>
      <c r="H15" s="3" t="s">
        <v>202</v>
      </c>
      <c r="I15" s="3" t="s">
        <v>204</v>
      </c>
      <c r="J15" s="3" t="s">
        <v>207</v>
      </c>
    </row>
    <row r="16" spans="1:10">
      <c r="A16" s="7" t="s">
        <v>73</v>
      </c>
      <c r="B16" s="8" t="s">
        <v>133</v>
      </c>
      <c r="C16" s="8" t="s">
        <v>206</v>
      </c>
      <c r="D16" s="8" t="s">
        <v>202</v>
      </c>
      <c r="E16" s="8" t="s">
        <v>208</v>
      </c>
      <c r="F16" s="8" t="s">
        <v>202</v>
      </c>
      <c r="G16" s="8" t="s">
        <v>202</v>
      </c>
      <c r="H16" s="8" t="s">
        <v>202</v>
      </c>
      <c r="I16" s="8" t="s">
        <v>204</v>
      </c>
      <c r="J16" s="8" t="s">
        <v>209</v>
      </c>
    </row>
    <row r="17" spans="1:10">
      <c r="A17" s="4" t="s">
        <v>78</v>
      </c>
      <c r="B17" s="3" t="s">
        <v>210</v>
      </c>
      <c r="C17" s="3" t="s">
        <v>25</v>
      </c>
      <c r="D17" s="3" t="s">
        <v>202</v>
      </c>
      <c r="E17" s="3" t="s">
        <v>211</v>
      </c>
      <c r="F17" s="3" t="s">
        <v>202</v>
      </c>
      <c r="G17" s="3" t="s">
        <v>202</v>
      </c>
      <c r="H17" s="3" t="s">
        <v>202</v>
      </c>
      <c r="I17" s="3" t="s">
        <v>204</v>
      </c>
      <c r="J17" s="3" t="s">
        <v>205</v>
      </c>
    </row>
    <row r="18" spans="1:10">
      <c r="A18" s="7" t="s">
        <v>83</v>
      </c>
      <c r="B18" s="8" t="s">
        <v>212</v>
      </c>
      <c r="C18" s="8" t="s">
        <v>25</v>
      </c>
      <c r="D18" s="8" t="s">
        <v>202</v>
      </c>
      <c r="E18" s="8" t="s">
        <v>211</v>
      </c>
      <c r="F18" s="8" t="s">
        <v>202</v>
      </c>
      <c r="G18" s="8" t="s">
        <v>202</v>
      </c>
      <c r="H18" s="8" t="s">
        <v>202</v>
      </c>
      <c r="I18" s="8" t="s">
        <v>204</v>
      </c>
      <c r="J18" s="8" t="s">
        <v>205</v>
      </c>
    </row>
    <row r="19" spans="1:10">
      <c r="A19" s="4" t="s">
        <v>88</v>
      </c>
      <c r="B19" s="3" t="s">
        <v>213</v>
      </c>
      <c r="C19" s="3" t="s">
        <v>25</v>
      </c>
      <c r="D19" s="3" t="s">
        <v>202</v>
      </c>
      <c r="E19" s="3" t="s">
        <v>211</v>
      </c>
      <c r="F19" s="3" t="s">
        <v>202</v>
      </c>
      <c r="G19" s="3" t="s">
        <v>202</v>
      </c>
      <c r="H19" s="3" t="s">
        <v>202</v>
      </c>
      <c r="I19" s="3" t="s">
        <v>204</v>
      </c>
      <c r="J19" s="3" t="s">
        <v>205</v>
      </c>
    </row>
    <row r="20" spans="1:10">
      <c r="A20" s="7" t="s">
        <v>93</v>
      </c>
      <c r="B20" s="8" t="s">
        <v>188</v>
      </c>
      <c r="C20" s="8" t="s">
        <v>214</v>
      </c>
      <c r="D20" s="8" t="s">
        <v>215</v>
      </c>
      <c r="E20" s="8" t="s">
        <v>216</v>
      </c>
      <c r="F20" s="8" t="s">
        <v>217</v>
      </c>
      <c r="G20" s="8" t="s">
        <v>217</v>
      </c>
      <c r="H20" s="8" t="s">
        <v>217</v>
      </c>
      <c r="I20" s="8" t="s">
        <v>204</v>
      </c>
      <c r="J20" s="8" t="s">
        <v>218</v>
      </c>
    </row>
    <row r="21" spans="1:10">
      <c r="A21" s="4" t="s">
        <v>99</v>
      </c>
      <c r="B21" s="3" t="s">
        <v>219</v>
      </c>
      <c r="C21" s="3" t="s">
        <v>25</v>
      </c>
      <c r="D21" s="3" t="s">
        <v>202</v>
      </c>
      <c r="E21" s="3" t="s">
        <v>211</v>
      </c>
      <c r="F21" s="3" t="s">
        <v>202</v>
      </c>
      <c r="G21" s="3" t="s">
        <v>202</v>
      </c>
      <c r="H21" s="3" t="s">
        <v>202</v>
      </c>
      <c r="I21" s="3" t="s">
        <v>204</v>
      </c>
      <c r="J21" s="3" t="s">
        <v>205</v>
      </c>
    </row>
    <row r="22" spans="1:10">
      <c r="A22" s="7" t="s">
        <v>104</v>
      </c>
      <c r="B22" s="8" t="s">
        <v>220</v>
      </c>
      <c r="C22" s="8" t="s">
        <v>25</v>
      </c>
      <c r="D22" s="8" t="s">
        <v>202</v>
      </c>
      <c r="E22" s="8" t="s">
        <v>203</v>
      </c>
      <c r="F22" s="8" t="s">
        <v>202</v>
      </c>
      <c r="G22" s="8" t="s">
        <v>202</v>
      </c>
      <c r="H22" s="8" t="s">
        <v>202</v>
      </c>
      <c r="I22" s="8" t="s">
        <v>204</v>
      </c>
      <c r="J22" s="8" t="s">
        <v>205</v>
      </c>
    </row>
    <row r="23" spans="1:10">
      <c r="A23" s="4" t="s">
        <v>109</v>
      </c>
      <c r="B23" s="3" t="s">
        <v>221</v>
      </c>
      <c r="C23" s="3" t="s">
        <v>25</v>
      </c>
      <c r="D23" s="3" t="s">
        <v>202</v>
      </c>
      <c r="E23" s="3" t="s">
        <v>203</v>
      </c>
      <c r="F23" s="3" t="s">
        <v>202</v>
      </c>
      <c r="G23" s="3" t="s">
        <v>202</v>
      </c>
      <c r="H23" s="3" t="s">
        <v>202</v>
      </c>
      <c r="I23" s="3" t="s">
        <v>204</v>
      </c>
      <c r="J23" s="3" t="s">
        <v>205</v>
      </c>
    </row>
    <row r="24" spans="1:10">
      <c r="A24" s="7" t="s">
        <v>110</v>
      </c>
      <c r="B24" s="8" t="s">
        <v>222</v>
      </c>
      <c r="C24" s="8" t="s">
        <v>25</v>
      </c>
      <c r="D24" s="8" t="s">
        <v>202</v>
      </c>
      <c r="E24" s="8" t="s">
        <v>203</v>
      </c>
      <c r="F24" s="8" t="s">
        <v>202</v>
      </c>
      <c r="G24" s="8" t="s">
        <v>202</v>
      </c>
      <c r="H24" s="8" t="s">
        <v>202</v>
      </c>
      <c r="I24" s="8" t="s">
        <v>204</v>
      </c>
      <c r="J24" s="8" t="s">
        <v>205</v>
      </c>
    </row>
  </sheetData>
  <mergeCells count="2">
    <mergeCell ref="A1:J1"/>
    <mergeCell ref="A3:J3"/>
  </mergeCells>
  <conditionalFormatting sqref="C6:C24">
    <cfRule type="containsText" dxfId="2" priority="1" operator="containsText" text="待确认"/>
    <cfRule type="containsText" dxfId="1" priority="2" operator="containsText" text="建议计入"/>
    <cfRule type="containsText" dxfId="0" priority="3" operator="containsText" text="建议非独立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workbookViewId="0"/>
  </sheetViews>
  <sheetFormatPr defaultRowHeight="13.8"/>
  <cols>
    <col min="1" max="1" width="10" customWidth="1"/>
    <col min="2" max="2" width="15" customWidth="1"/>
    <col min="3" max="3" width="46" customWidth="1"/>
    <col min="4" max="4" width="20" customWidth="1"/>
    <col min="5" max="5" width="42" customWidth="1"/>
    <col min="6" max="6" width="12" customWidth="1"/>
  </cols>
  <sheetData>
    <row r="1" spans="1:6" ht="28.05" customHeight="1">
      <c r="A1" s="10" t="s">
        <v>223</v>
      </c>
      <c r="B1" s="10"/>
      <c r="C1" s="10"/>
      <c r="D1" s="10"/>
      <c r="E1" s="10"/>
      <c r="F1" s="10"/>
    </row>
    <row r="3" spans="1:6" ht="30" customHeight="1">
      <c r="A3" s="12" t="s">
        <v>224</v>
      </c>
      <c r="B3" s="12"/>
      <c r="C3" s="12"/>
      <c r="D3" s="12"/>
      <c r="E3" s="12"/>
      <c r="F3" s="12"/>
    </row>
    <row r="5" spans="1:6" ht="30" customHeight="1">
      <c r="A5" s="2" t="s">
        <v>225</v>
      </c>
      <c r="B5" s="2" t="s">
        <v>226</v>
      </c>
      <c r="C5" s="2" t="s">
        <v>227</v>
      </c>
      <c r="D5" s="2" t="s">
        <v>228</v>
      </c>
      <c r="E5" s="2" t="s">
        <v>229</v>
      </c>
      <c r="F5" s="2" t="s">
        <v>230</v>
      </c>
    </row>
    <row r="6" spans="1:6" ht="27.6">
      <c r="A6" s="7" t="s">
        <v>231</v>
      </c>
      <c r="B6" s="8" t="s">
        <v>232</v>
      </c>
      <c r="C6" s="8" t="s">
        <v>138</v>
      </c>
      <c r="D6" s="8" t="s">
        <v>233</v>
      </c>
      <c r="E6" s="8" t="s">
        <v>234</v>
      </c>
      <c r="F6" s="9" t="s">
        <v>235</v>
      </c>
    </row>
    <row r="7" spans="1:6">
      <c r="A7" s="4" t="s">
        <v>236</v>
      </c>
      <c r="B7" s="3" t="s">
        <v>232</v>
      </c>
      <c r="C7" s="3" t="s">
        <v>237</v>
      </c>
      <c r="D7" s="3" t="s">
        <v>233</v>
      </c>
      <c r="E7" s="3" t="s">
        <v>238</v>
      </c>
      <c r="F7" s="9" t="s">
        <v>235</v>
      </c>
    </row>
    <row r="8" spans="1:6">
      <c r="A8" s="7" t="s">
        <v>239</v>
      </c>
      <c r="B8" s="8" t="s">
        <v>240</v>
      </c>
      <c r="C8" s="8" t="s">
        <v>241</v>
      </c>
      <c r="D8" s="8" t="s">
        <v>242</v>
      </c>
      <c r="E8" s="8" t="s">
        <v>243</v>
      </c>
      <c r="F8" s="9" t="s">
        <v>235</v>
      </c>
    </row>
    <row r="9" spans="1:6">
      <c r="A9" s="4" t="s">
        <v>244</v>
      </c>
      <c r="B9" s="3" t="s">
        <v>240</v>
      </c>
      <c r="C9" s="3" t="s">
        <v>245</v>
      </c>
      <c r="D9" s="3" t="s">
        <v>233</v>
      </c>
      <c r="E9" s="3" t="s">
        <v>246</v>
      </c>
      <c r="F9" s="9" t="s">
        <v>235</v>
      </c>
    </row>
    <row r="10" spans="1:6">
      <c r="A10" s="7" t="s">
        <v>247</v>
      </c>
      <c r="B10" s="8" t="s">
        <v>248</v>
      </c>
      <c r="C10" s="8" t="s">
        <v>249</v>
      </c>
      <c r="D10" s="8" t="s">
        <v>119</v>
      </c>
      <c r="E10" s="8" t="s">
        <v>250</v>
      </c>
      <c r="F10" s="9" t="s">
        <v>235</v>
      </c>
    </row>
    <row r="11" spans="1:6">
      <c r="A11" s="4" t="s">
        <v>251</v>
      </c>
      <c r="B11" s="3" t="s">
        <v>252</v>
      </c>
      <c r="C11" s="3" t="s">
        <v>253</v>
      </c>
      <c r="D11" s="3" t="s">
        <v>233</v>
      </c>
      <c r="E11" s="3" t="s">
        <v>254</v>
      </c>
      <c r="F11" s="9" t="s">
        <v>235</v>
      </c>
    </row>
    <row r="12" spans="1:6">
      <c r="A12" s="7" t="s">
        <v>255</v>
      </c>
      <c r="B12" s="8" t="s">
        <v>256</v>
      </c>
      <c r="C12" s="8" t="s">
        <v>257</v>
      </c>
      <c r="D12" s="8" t="s">
        <v>233</v>
      </c>
      <c r="E12" s="8" t="s">
        <v>258</v>
      </c>
      <c r="F12" s="9" t="s">
        <v>235</v>
      </c>
    </row>
    <row r="13" spans="1:6">
      <c r="A13" s="4" t="s">
        <v>259</v>
      </c>
      <c r="B13" s="3" t="s">
        <v>204</v>
      </c>
      <c r="C13" s="3" t="s">
        <v>260</v>
      </c>
      <c r="D13" s="3" t="s">
        <v>261</v>
      </c>
      <c r="E13" s="3" t="s">
        <v>262</v>
      </c>
      <c r="F13" s="9" t="s">
        <v>235</v>
      </c>
    </row>
    <row r="14" spans="1:6">
      <c r="A14" s="7" t="s">
        <v>263</v>
      </c>
      <c r="B14" s="8" t="s">
        <v>204</v>
      </c>
      <c r="C14" s="8" t="s">
        <v>264</v>
      </c>
      <c r="D14" s="8" t="s">
        <v>265</v>
      </c>
      <c r="E14" s="8" t="s">
        <v>266</v>
      </c>
      <c r="F14" s="9" t="s">
        <v>235</v>
      </c>
    </row>
    <row r="15" spans="1:6">
      <c r="A15" s="4" t="s">
        <v>267</v>
      </c>
      <c r="B15" s="3" t="s">
        <v>204</v>
      </c>
      <c r="C15" s="3" t="s">
        <v>268</v>
      </c>
      <c r="D15" s="3" t="s">
        <v>269</v>
      </c>
      <c r="E15" s="3" t="s">
        <v>270</v>
      </c>
      <c r="F15" s="9" t="s">
        <v>235</v>
      </c>
    </row>
    <row r="16" spans="1:6">
      <c r="A16" s="7" t="s">
        <v>271</v>
      </c>
      <c r="B16" s="8" t="s">
        <v>272</v>
      </c>
      <c r="C16" s="8" t="s">
        <v>273</v>
      </c>
      <c r="D16" s="8" t="s">
        <v>132</v>
      </c>
      <c r="E16" s="8" t="s">
        <v>274</v>
      </c>
      <c r="F16" s="9" t="s">
        <v>235</v>
      </c>
    </row>
  </sheetData>
  <mergeCells count="2">
    <mergeCell ref="A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用例确认清单</vt:lpstr>
      <vt:lpstr>当前基线验收</vt:lpstr>
      <vt:lpstr>追溯矩阵</vt:lpstr>
      <vt:lpstr>证据索引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 Suk York</cp:lastModifiedBy>
  <dcterms:modified xsi:type="dcterms:W3CDTF">2026-08-25T06:35:27Z</dcterms:modified>
</cp:coreProperties>
</file>